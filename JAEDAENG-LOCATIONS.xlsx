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ขาทั้งหมด" sheetId="1" state="visible" r:id="rId1"/>
    <sheet xmlns:r="http://schemas.openxmlformats.org/officeDocument/2006/relationships" name="สรุปตาม BZM" sheetId="2" state="visible" r:id="rId2"/>
    <sheet xmlns:r="http://schemas.openxmlformats.org/officeDocument/2006/relationships" name="ขาดพิกัด G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arabun"/>
      <b val="1"/>
      <color rgb="00FFFFFF"/>
      <sz val="12"/>
    </font>
    <font>
      <name val="Sarabun"/>
      <sz val="11"/>
    </font>
    <font>
      <name val="Sarabun"/>
      <b val="1"/>
      <sz val="11"/>
    </font>
  </fonts>
  <fills count="5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50" customWidth="1" min="4" max="4"/>
    <col width="13" customWidth="1" min="5" max="5"/>
    <col width="13" customWidth="1" min="6" max="6"/>
    <col width="14" customWidth="1" min="7" max="7"/>
    <col width="16" customWidth="1" min="8" max="8"/>
  </cols>
  <sheetData>
    <row r="1" ht="28" customHeight="1">
      <c r="A1" s="1" t="inlineStr">
        <is>
          <t>#</t>
        </is>
      </c>
      <c r="B1" s="1" t="inlineStr">
        <is>
          <t>BZM (ชื่อจริง)</t>
        </is>
      </c>
      <c r="C1" s="1" t="inlineStr">
        <is>
          <t>BZM (นิคเนม)</t>
        </is>
      </c>
      <c r="D1" s="1" t="inlineStr">
        <is>
          <t>ชื่อสาขา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สถานะพิกัด</t>
        </is>
      </c>
      <c r="H1" s="1" t="inlineStr">
        <is>
          <t>Google Maps</t>
        </is>
      </c>
    </row>
    <row r="2">
      <c r="A2" s="2" t="n">
        <v>1</v>
      </c>
      <c r="B2" s="3" t="inlineStr">
        <is>
          <t>นุชจรินทร์</t>
        </is>
      </c>
      <c r="C2" s="3" t="inlineStr">
        <is>
          <t>พี่กัส</t>
        </is>
      </c>
      <c r="D2" s="3" t="inlineStr">
        <is>
          <t>ร้านส้มตำเจ๊แดง (ธนิยะ)</t>
        </is>
      </c>
      <c r="E2" s="3" t="n">
        <v>13.7301775</v>
      </c>
      <c r="F2" s="3" t="n">
        <v>100.5307144</v>
      </c>
      <c r="G2" s="2" t="inlineStr">
        <is>
          <t>✅ มีพิกัด</t>
        </is>
      </c>
      <c r="H2" s="3">
        <f>HYPERLINK("https://maps.google.com/?q=13.7301775,100.5307144","เปิดแผนที่")</f>
        <v/>
      </c>
    </row>
    <row r="3">
      <c r="A3" s="2" t="n">
        <v>2</v>
      </c>
      <c r="B3" s="3" t="inlineStr">
        <is>
          <t>นุชจรินทร์</t>
        </is>
      </c>
      <c r="C3" s="3" t="inlineStr">
        <is>
          <t>พี่กัส</t>
        </is>
      </c>
      <c r="D3" s="3" t="inlineStr">
        <is>
          <t>ร้านส้มตำเจ๊แดง (ดุสิต เซ็นทรัล พาร์ค)</t>
        </is>
      </c>
      <c r="E3" s="3" t="n">
        <v>13.7283064</v>
      </c>
      <c r="F3" s="3" t="n">
        <v>100.534965</v>
      </c>
      <c r="G3" s="2" t="inlineStr">
        <is>
          <t>✅ มีพิกัด</t>
        </is>
      </c>
      <c r="H3" s="3">
        <f>HYPERLINK("https://maps.google.com/?q=13.7283064,100.534965","เปิดแผนที่")</f>
        <v/>
      </c>
    </row>
    <row r="4">
      <c r="A4" s="2" t="n">
        <v>3</v>
      </c>
      <c r="B4" s="3" t="inlineStr">
        <is>
          <t>นุชจรินทร์</t>
        </is>
      </c>
      <c r="C4" s="3" t="inlineStr">
        <is>
          <t>พี่กัส</t>
        </is>
      </c>
      <c r="D4" s="3" t="inlineStr">
        <is>
          <t>ร้านส้มตำเจ๊แดง (พรานนก)</t>
        </is>
      </c>
      <c r="E4" s="3" t="n">
        <v>13.7535468</v>
      </c>
      <c r="F4" s="3" t="n">
        <v>100.4455994</v>
      </c>
      <c r="G4" s="2" t="inlineStr">
        <is>
          <t>✅ มีพิกัด</t>
        </is>
      </c>
      <c r="H4" s="3">
        <f>HYPERLINK("https://maps.google.com/?q=13.7535468,100.4455994","เปิดแผนที่")</f>
        <v/>
      </c>
    </row>
    <row r="5">
      <c r="A5" s="2" t="n">
        <v>4</v>
      </c>
      <c r="B5" s="3" t="inlineStr">
        <is>
          <t>นุชจรินทร์</t>
        </is>
      </c>
      <c r="C5" s="3" t="inlineStr">
        <is>
          <t>พี่กัส</t>
        </is>
      </c>
      <c r="D5" s="3" t="inlineStr">
        <is>
          <t>ร้านส้มตำเจ๊แดง (Paseo กาญจนาภิเษก)</t>
        </is>
      </c>
      <c r="E5" s="3" t="n">
        <v>13.7665982</v>
      </c>
      <c r="F5" s="3" t="n">
        <v>100.4036471</v>
      </c>
      <c r="G5" s="2" t="inlineStr">
        <is>
          <t>✅ มีพิกัด</t>
        </is>
      </c>
      <c r="H5" s="3">
        <f>HYPERLINK("https://maps.google.com/?q=13.7665982,100.4036471","เปิดแผนที่")</f>
        <v/>
      </c>
    </row>
    <row r="6">
      <c r="A6" s="2" t="n">
        <v>5</v>
      </c>
      <c r="B6" s="3" t="inlineStr">
        <is>
          <t>นุชจรินทร์</t>
        </is>
      </c>
      <c r="C6" s="3" t="inlineStr">
        <is>
          <t>พี่กัส</t>
        </is>
      </c>
      <c r="D6" s="3" t="inlineStr">
        <is>
          <t>ร้านส้มตำเจ๊แดง (เซ็นทรัลพระราม 2)</t>
        </is>
      </c>
      <c r="E6" s="3" t="n">
        <v>13.662599</v>
      </c>
      <c r="F6" s="3" t="n">
        <v>100.4347654</v>
      </c>
      <c r="G6" s="2" t="inlineStr">
        <is>
          <t>✅ มีพิกัด</t>
        </is>
      </c>
      <c r="H6" s="3">
        <f>HYPERLINK("https://maps.google.com/?q=13.662599,100.4347654","เปิดแผนที่")</f>
        <v/>
      </c>
    </row>
    <row r="7">
      <c r="A7" s="2" t="n">
        <v>6</v>
      </c>
      <c r="B7" s="3" t="inlineStr">
        <is>
          <t>นุชจรินทร์</t>
        </is>
      </c>
      <c r="C7" s="3" t="inlineStr">
        <is>
          <t>พี่กัส</t>
        </is>
      </c>
      <c r="D7" s="3" t="inlineStr">
        <is>
          <t>ร้านส้มตำเจ๊แดง (The Bright พระราม 2)</t>
        </is>
      </c>
      <c r="E7" s="3" t="n">
        <v>13.6687652</v>
      </c>
      <c r="F7" s="3" t="n">
        <v>100.4497944</v>
      </c>
      <c r="G7" s="2" t="inlineStr">
        <is>
          <t>✅ มีพิกัด</t>
        </is>
      </c>
      <c r="H7" s="3">
        <f>HYPERLINK("https://maps.google.com/?q=13.6687652,100.4497944","เปิดแผนที่")</f>
        <v/>
      </c>
    </row>
    <row r="8">
      <c r="A8" s="2" t="n">
        <v>7</v>
      </c>
      <c r="B8" s="3" t="inlineStr">
        <is>
          <t>นุชจรินทร์</t>
        </is>
      </c>
      <c r="C8" s="3" t="inlineStr">
        <is>
          <t>พี่กัส</t>
        </is>
      </c>
      <c r="D8" s="3" t="inlineStr">
        <is>
          <t>ร้านส้มตำเจ๊แดง (ศาลายา ปั๊ม PT)</t>
        </is>
      </c>
      <c r="E8" s="3" t="n">
        <v>13.7887022</v>
      </c>
      <c r="F8" s="3" t="n">
        <v>100.3393726</v>
      </c>
      <c r="G8" s="2" t="inlineStr">
        <is>
          <t>✅ มีพิกัด</t>
        </is>
      </c>
      <c r="H8" s="3">
        <f>HYPERLINK("https://maps.google.com/?q=13.7887022,100.3393726","เปิดแผนที่")</f>
        <v/>
      </c>
    </row>
    <row r="9">
      <c r="A9" s="2" t="n">
        <v>8</v>
      </c>
      <c r="B9" s="3" t="inlineStr">
        <is>
          <t>นุชจรินทร์</t>
        </is>
      </c>
      <c r="C9" s="3" t="inlineStr">
        <is>
          <t>พี่กัส</t>
        </is>
      </c>
      <c r="D9" s="3" t="inlineStr">
        <is>
          <t>ร้านส้มตำเจ๊แดง (ปั๊ม ปตท.เวสวิลเลจ)</t>
        </is>
      </c>
      <c r="E9" s="3" t="n">
        <v>13.8567282</v>
      </c>
      <c r="F9" s="3" t="n">
        <v>100.407688</v>
      </c>
      <c r="G9" s="2" t="inlineStr">
        <is>
          <t>✅ มีพิกัด</t>
        </is>
      </c>
      <c r="H9" s="3">
        <f>HYPERLINK("https://maps.google.com/?q=13.8567282,100.407688","เปิดแผนที่")</f>
        <v/>
      </c>
    </row>
    <row r="10">
      <c r="A10" s="2" t="n">
        <v>9</v>
      </c>
      <c r="B10" s="3" t="inlineStr">
        <is>
          <t>นุชจรินทร์</t>
        </is>
      </c>
      <c r="C10" s="3" t="inlineStr">
        <is>
          <t>พี่กัส</t>
        </is>
      </c>
      <c r="D10" s="3" t="inlineStr">
        <is>
          <t>ร้านส้มตำเจ๊แดง (ปตท.บรมราชชนนี)</t>
        </is>
      </c>
      <c r="E10" s="3" t="n">
        <v>13.7819421</v>
      </c>
      <c r="F10" s="3" t="n">
        <v>100.4105383</v>
      </c>
      <c r="G10" s="2" t="inlineStr">
        <is>
          <t>✅ มีพิกัด</t>
        </is>
      </c>
      <c r="H10" s="3">
        <f>HYPERLINK("https://maps.google.com/?q=13.7819421,100.4105383","เปิดแผนที่")</f>
        <v/>
      </c>
    </row>
    <row r="11">
      <c r="A11" s="2" t="n">
        <v>10</v>
      </c>
      <c r="B11" s="3" t="inlineStr">
        <is>
          <t>นุชจรินทร์</t>
        </is>
      </c>
      <c r="C11" s="3" t="inlineStr">
        <is>
          <t>พี่กัส</t>
        </is>
      </c>
      <c r="D11" s="3" t="inlineStr">
        <is>
          <t>ร้านส้มตำเจ๊แดง (บางจาก ราชพฤกษ์)</t>
        </is>
      </c>
      <c r="E11" s="3" t="n">
        <v>13.7907227</v>
      </c>
      <c r="F11" s="3" t="n">
        <v>100.4446842</v>
      </c>
      <c r="G11" s="2" t="inlineStr">
        <is>
          <t>✅ มีพิกัด</t>
        </is>
      </c>
      <c r="H11" s="3">
        <f>HYPERLINK("https://maps.google.com/?q=13.7907227,100.4446842","เปิดแผนที่")</f>
        <v/>
      </c>
    </row>
    <row r="12">
      <c r="A12" s="2" t="n">
        <v>11</v>
      </c>
      <c r="B12" s="3" t="inlineStr">
        <is>
          <t>นุชจรินทร์</t>
        </is>
      </c>
      <c r="C12" s="3" t="inlineStr">
        <is>
          <t>พี่กัส</t>
        </is>
      </c>
      <c r="D12" s="3" t="inlineStr">
        <is>
          <t>ร้านส้มตำเจ๊แดง (PTT ราชพฤกษ์)</t>
        </is>
      </c>
      <c r="E12" s="3" t="n">
        <v>13.8408768</v>
      </c>
      <c r="F12" s="3" t="n">
        <v>100.4077997</v>
      </c>
      <c r="G12" s="2" t="inlineStr">
        <is>
          <t>✅ มีพิกัด</t>
        </is>
      </c>
      <c r="H12" s="3">
        <f>HYPERLINK("https://maps.google.com/?q=13.8408768,100.4077997","เปิดแผนที่")</f>
        <v/>
      </c>
    </row>
    <row r="13">
      <c r="A13" s="2" t="n">
        <v>12</v>
      </c>
      <c r="B13" s="3" t="inlineStr">
        <is>
          <t>คณัสวรรณ</t>
        </is>
      </c>
      <c r="C13" s="3" t="inlineStr">
        <is>
          <t>พี่เฟิร์น</t>
        </is>
      </c>
      <c r="D13" s="3" t="inlineStr">
        <is>
          <t>ร้านส้มตำเจ๊แดง (มอเตอร์เวย์-ชลบุรี)</t>
        </is>
      </c>
      <c r="E13" s="3" t="n">
        <v>13.5393791</v>
      </c>
      <c r="F13" s="3" t="n">
        <v>101.006768</v>
      </c>
      <c r="G13" s="2" t="inlineStr">
        <is>
          <t>✅ มีพิกัด</t>
        </is>
      </c>
      <c r="H13" s="3">
        <f>HYPERLINK("https://maps.google.com/?q=13.5393791,101.006768","เปิดแผนที่")</f>
        <v/>
      </c>
    </row>
    <row r="14">
      <c r="A14" s="2" t="n">
        <v>13</v>
      </c>
      <c r="B14" s="3" t="inlineStr">
        <is>
          <t>คณัสวรรณ</t>
        </is>
      </c>
      <c r="C14" s="3" t="inlineStr">
        <is>
          <t>พี่เฟิร์น</t>
        </is>
      </c>
      <c r="D14" s="3" t="inlineStr">
        <is>
          <t>ร้านส้มตำเจ๊แดง (เอกเกณฑ์ พัทยา)</t>
        </is>
      </c>
      <c r="E14" s="3" t="n">
        <v>12.9510719</v>
      </c>
      <c r="F14" s="3" t="n">
        <v>100.8857879</v>
      </c>
      <c r="G14" s="2" t="inlineStr">
        <is>
          <t>✅ มีพิกัด</t>
        </is>
      </c>
      <c r="H14" s="3">
        <f>HYPERLINK("https://maps.google.com/?q=12.9510719,100.8857879","เปิดแผนที่")</f>
        <v/>
      </c>
    </row>
    <row r="15">
      <c r="A15" s="2" t="n">
        <v>14</v>
      </c>
      <c r="B15" s="3" t="inlineStr">
        <is>
          <t>คณัสวรรณ</t>
        </is>
      </c>
      <c r="C15" s="3" t="inlineStr">
        <is>
          <t>พี่เฟิร์น</t>
        </is>
      </c>
      <c r="D15" s="3" t="inlineStr">
        <is>
          <t>ร้านส้มตำเจ๊แดง (The Street รัชดา)</t>
        </is>
      </c>
      <c r="E15" s="3" t="n">
        <v>13.7535468</v>
      </c>
      <c r="F15" s="3" t="n">
        <v>100.4455941</v>
      </c>
      <c r="G15" s="2" t="inlineStr">
        <is>
          <t>✅ มีพิกัด</t>
        </is>
      </c>
      <c r="H15" s="3">
        <f>HYPERLINK("https://maps.google.com/?q=13.7535468,100.4455941","เปิดแผนที่")</f>
        <v/>
      </c>
    </row>
    <row r="16">
      <c r="A16" s="2" t="n">
        <v>15</v>
      </c>
      <c r="B16" s="3" t="inlineStr">
        <is>
          <t>คณัสวรรณ</t>
        </is>
      </c>
      <c r="C16" s="3" t="inlineStr">
        <is>
          <t>พี่เฟิร์น</t>
        </is>
      </c>
      <c r="D16" s="3" t="inlineStr">
        <is>
          <t>ร้านส้มตำเจ๊แดง (PTT. นวลจันทร์)</t>
        </is>
      </c>
      <c r="E16" s="3" t="n">
        <v>13.8182153</v>
      </c>
      <c r="F16" s="3" t="n">
        <v>100.6462443</v>
      </c>
      <c r="G16" s="2" t="inlineStr">
        <is>
          <t>✅ มีพิกัด</t>
        </is>
      </c>
      <c r="H16" s="3">
        <f>HYPERLINK("https://maps.google.com/?q=13.8182153,100.6462443","เปิดแผนที่")</f>
        <v/>
      </c>
    </row>
    <row r="17">
      <c r="A17" s="2" t="n">
        <v>16</v>
      </c>
      <c r="B17" s="3" t="inlineStr">
        <is>
          <t>คณัสวรรณ</t>
        </is>
      </c>
      <c r="C17" s="3" t="inlineStr">
        <is>
          <t>พี่เฟิร์น</t>
        </is>
      </c>
      <c r="D17" s="3" t="inlineStr">
        <is>
          <t>ร้านส้มตำเจ๊แดง (ปตท. พระราม 4)</t>
        </is>
      </c>
      <c r="E17" s="3" t="n">
        <v>13.7131324</v>
      </c>
      <c r="F17" s="3" t="n">
        <v>100.5818959</v>
      </c>
      <c r="G17" s="2" t="inlineStr">
        <is>
          <t>✅ มีพิกัด</t>
        </is>
      </c>
      <c r="H17" s="3">
        <f>HYPERLINK("https://maps.google.com/?q=13.7131324,100.5818959","เปิดแผนที่")</f>
        <v/>
      </c>
    </row>
    <row r="18">
      <c r="A18" s="4" t="n">
        <v>17</v>
      </c>
      <c r="B18" s="5" t="inlineStr">
        <is>
          <t>คณัสวรรณ</t>
        </is>
      </c>
      <c r="C18" s="5" t="inlineStr">
        <is>
          <t>พี่เฟิร์น</t>
        </is>
      </c>
      <c r="D18" s="5" t="inlineStr">
        <is>
          <t>ร้านส้มตำเจ๊แดง (ต้นซุง)</t>
        </is>
      </c>
      <c r="E18" s="5" t="n"/>
      <c r="F18" s="5" t="n"/>
      <c r="G18" s="4" t="inlineStr">
        <is>
          <t>❌ ไม่มี</t>
        </is>
      </c>
      <c r="H18" s="5" t="inlineStr"/>
    </row>
    <row r="19">
      <c r="A19" s="2" t="n">
        <v>18</v>
      </c>
      <c r="B19" s="3" t="inlineStr">
        <is>
          <t>คณัสวรรณ</t>
        </is>
      </c>
      <c r="C19" s="3" t="inlineStr">
        <is>
          <t>พี่เฟิร์น</t>
        </is>
      </c>
      <c r="D19" s="3" t="inlineStr">
        <is>
          <t>ร้านส้มตำเจ๊แดง (ฟอร์จุนทาวน์)</t>
        </is>
      </c>
      <c r="E19" s="3" t="n">
        <v>13.759541</v>
      </c>
      <c r="F19" s="3" t="n">
        <v>100.5649858</v>
      </c>
      <c r="G19" s="2" t="inlineStr">
        <is>
          <t>✅ มีพิกัด</t>
        </is>
      </c>
      <c r="H19" s="3">
        <f>HYPERLINK("https://maps.google.com/?q=13.759541,100.5649858","เปิดแผนที่")</f>
        <v/>
      </c>
    </row>
    <row r="20">
      <c r="A20" s="2" t="n">
        <v>19</v>
      </c>
      <c r="B20" s="3" t="inlineStr">
        <is>
          <t>ขวัญดาว</t>
        </is>
      </c>
      <c r="C20" s="3" t="inlineStr">
        <is>
          <t>พี่ดาว</t>
        </is>
      </c>
      <c r="D20" s="3" t="inlineStr">
        <is>
          <t>ร้านส้มตำเจ๊แดง (สยาม)</t>
        </is>
      </c>
      <c r="E20" s="3" t="n">
        <v>13.7353013</v>
      </c>
      <c r="F20" s="3" t="n">
        <v>100.5108902</v>
      </c>
      <c r="G20" s="2" t="inlineStr">
        <is>
          <t>✅ มีพิกัด</t>
        </is>
      </c>
      <c r="H20" s="3">
        <f>HYPERLINK("https://maps.google.com/?q=13.7353013,100.5108902","เปิดแผนที่")</f>
        <v/>
      </c>
    </row>
    <row r="21">
      <c r="A21" s="2" t="n">
        <v>20</v>
      </c>
      <c r="B21" s="3" t="inlineStr">
        <is>
          <t>ขวัญดาว</t>
        </is>
      </c>
      <c r="C21" s="3" t="inlineStr">
        <is>
          <t>พี่ดาว</t>
        </is>
      </c>
      <c r="D21" s="3" t="inlineStr">
        <is>
          <t>ร้านส้มตำเจ๊แดง (สยามพารากอน)</t>
        </is>
      </c>
      <c r="E21" s="3" t="n">
        <v>13.7463</v>
      </c>
      <c r="F21" s="3" t="n">
        <v>100.5346</v>
      </c>
      <c r="G21" s="2" t="inlineStr">
        <is>
          <t>✅ มีพิกัด</t>
        </is>
      </c>
      <c r="H21" s="3">
        <f>HYPERLINK("https://maps.google.com/?q=13.7463,100.5346","เปิดแผนที่")</f>
        <v/>
      </c>
    </row>
    <row r="22">
      <c r="A22" s="2" t="n">
        <v>21</v>
      </c>
      <c r="B22" s="3" t="inlineStr">
        <is>
          <t>ขวัญดาว</t>
        </is>
      </c>
      <c r="C22" s="3" t="inlineStr">
        <is>
          <t>พี่ดาว</t>
        </is>
      </c>
      <c r="D22" s="3" t="inlineStr">
        <is>
          <t>ร้านส้มตำเจ๊แดง (เซ็นทรัลเวิลด์)</t>
        </is>
      </c>
      <c r="E22" s="3" t="n">
        <v>13.7447218</v>
      </c>
      <c r="F22" s="3" t="n">
        <v>100.4645232</v>
      </c>
      <c r="G22" s="2" t="inlineStr">
        <is>
          <t>✅ มีพิกัด</t>
        </is>
      </c>
      <c r="H22" s="3">
        <f>HYPERLINK("https://maps.google.com/?q=13.7447218,100.4645232","เปิดแผนที่")</f>
        <v/>
      </c>
    </row>
    <row r="23">
      <c r="A23" s="2" t="n">
        <v>22</v>
      </c>
      <c r="B23" s="3" t="inlineStr">
        <is>
          <t>ขวัญดาว</t>
        </is>
      </c>
      <c r="C23" s="3" t="inlineStr">
        <is>
          <t>พี่ดาว</t>
        </is>
      </c>
      <c r="D23" s="3" t="inlineStr">
        <is>
          <t>ร้านส้มตำเจ๊แดง (คู่บอน)</t>
        </is>
      </c>
      <c r="E23" s="3" t="n">
        <v>13.8548134</v>
      </c>
      <c r="F23" s="3" t="n">
        <v>100.67797</v>
      </c>
      <c r="G23" s="2" t="inlineStr">
        <is>
          <t>✅ มีพิกัด</t>
        </is>
      </c>
      <c r="H23" s="3">
        <f>HYPERLINK("https://maps.google.com/?q=13.8548134,100.67797","เปิดแผนที่")</f>
        <v/>
      </c>
    </row>
    <row r="24">
      <c r="A24" s="2" t="n">
        <v>23</v>
      </c>
      <c r="B24" s="3" t="inlineStr">
        <is>
          <t>ขวัญดาว</t>
        </is>
      </c>
      <c r="C24" s="3" t="inlineStr">
        <is>
          <t>พี่ดาว</t>
        </is>
      </c>
      <c r="D24" s="3" t="inlineStr">
        <is>
          <t>ร้านส้มตำเจ๊แดง (บางจากสุขุมวิท 62)</t>
        </is>
      </c>
      <c r="E24" s="3" t="n">
        <v>13.6952912</v>
      </c>
      <c r="F24" s="3" t="n">
        <v>100.6033721</v>
      </c>
      <c r="G24" s="2" t="inlineStr">
        <is>
          <t>✅ มีพิกัด</t>
        </is>
      </c>
      <c r="H24" s="3">
        <f>HYPERLINK("https://maps.google.com/?q=13.6952912,100.6033721","เปิดแผนที่")</f>
        <v/>
      </c>
    </row>
    <row r="25">
      <c r="A25" s="2" t="n">
        <v>24</v>
      </c>
      <c r="B25" s="3" t="inlineStr">
        <is>
          <t>ขวัญดาว</t>
        </is>
      </c>
      <c r="C25" s="3" t="inlineStr">
        <is>
          <t>พี่ดาว</t>
        </is>
      </c>
      <c r="D25" s="3" t="inlineStr">
        <is>
          <t>ร้านส้มตำเจ๊แดง (ทากะทาวน์)</t>
        </is>
      </c>
      <c r="E25" s="3" t="n">
        <v>13.7453243</v>
      </c>
      <c r="F25" s="3" t="n">
        <v>100.5700709</v>
      </c>
      <c r="G25" s="2" t="inlineStr">
        <is>
          <t>✅ มีพิกัด</t>
        </is>
      </c>
      <c r="H25" s="3">
        <f>HYPERLINK("https://maps.google.com/?q=13.7453243,100.5700709","เปิดแผนที่")</f>
        <v/>
      </c>
    </row>
    <row r="26">
      <c r="A26" s="2" t="n">
        <v>25</v>
      </c>
      <c r="B26" s="3" t="inlineStr">
        <is>
          <t>ขวัญดาว</t>
        </is>
      </c>
      <c r="C26" s="3" t="inlineStr">
        <is>
          <t>พี่ดาว</t>
        </is>
      </c>
      <c r="D26" s="3" t="inlineStr">
        <is>
          <t>ร้านส้มตำเจ๊แดง (Emporium)</t>
        </is>
      </c>
      <c r="E26" s="3" t="n">
        <v>13.7428975</v>
      </c>
      <c r="F26" s="3" t="n">
        <v>100.564992</v>
      </c>
      <c r="G26" s="2" t="inlineStr">
        <is>
          <t>✅ มีพิกัด</t>
        </is>
      </c>
      <c r="H26" s="3">
        <f>HYPERLINK("https://maps.google.com/?q=13.7428975,100.564992","เปิดแผนที่")</f>
        <v/>
      </c>
    </row>
    <row r="27">
      <c r="A27" s="2" t="n">
        <v>26</v>
      </c>
      <c r="B27" s="3" t="inlineStr">
        <is>
          <t>ขวัญดาว</t>
        </is>
      </c>
      <c r="C27" s="3" t="inlineStr">
        <is>
          <t>พี่ดาว</t>
        </is>
      </c>
      <c r="D27" s="3" t="inlineStr">
        <is>
          <t>ร้านส้มตำเจ๊แดง (True Digital Park)</t>
        </is>
      </c>
      <c r="E27" s="3" t="n">
        <v>13.6866139</v>
      </c>
      <c r="F27" s="3" t="n">
        <v>100.6348432</v>
      </c>
      <c r="G27" s="2" t="inlineStr">
        <is>
          <t>✅ มีพิกัด</t>
        </is>
      </c>
      <c r="H27" s="3">
        <f>HYPERLINK("https://maps.google.com/?q=13.6866139,100.6348432","เปิดแผนที่")</f>
        <v/>
      </c>
    </row>
    <row r="28">
      <c r="A28" s="2" t="n">
        <v>27</v>
      </c>
      <c r="B28" s="3" t="inlineStr">
        <is>
          <t>ขวัญดาว</t>
        </is>
      </c>
      <c r="C28" s="3" t="inlineStr">
        <is>
          <t>พี่ดาว</t>
        </is>
      </c>
      <c r="D28" s="3" t="inlineStr">
        <is>
          <t>ร้านส้มตำเจ๊แดง (For you park บางนา)</t>
        </is>
      </c>
      <c r="E28" s="3" t="n">
        <v>13.6712974</v>
      </c>
      <c r="F28" s="3" t="n">
        <v>100.6183834</v>
      </c>
      <c r="G28" s="2" t="inlineStr">
        <is>
          <t>✅ มีพิกัด</t>
        </is>
      </c>
      <c r="H28" s="3">
        <f>HYPERLINK("https://maps.google.com/?q=13.6712974,100.6183834","เปิดแผนที่")</f>
        <v/>
      </c>
    </row>
    <row r="29">
      <c r="A29" s="2" t="n">
        <v>28</v>
      </c>
      <c r="B29" s="3" t="inlineStr">
        <is>
          <t>ขวัญดาว</t>
        </is>
      </c>
      <c r="C29" s="3" t="inlineStr">
        <is>
          <t>พี่ดาว</t>
        </is>
      </c>
      <c r="D29" s="3" t="inlineStr">
        <is>
          <t>ร้านส้มตำเจ๊แดง (เดอะมอลล์ งามวงศ์วาน)</t>
        </is>
      </c>
      <c r="E29" s="3" t="n">
        <v>13.8558865</v>
      </c>
      <c r="F29" s="3" t="n">
        <v>100.5390694</v>
      </c>
      <c r="G29" s="2" t="inlineStr">
        <is>
          <t>✅ มีพิกัด</t>
        </is>
      </c>
      <c r="H29" s="3">
        <f>HYPERLINK("https://maps.google.com/?q=13.8558865,100.5390694","เปิดแผนที่")</f>
        <v/>
      </c>
    </row>
    <row r="30">
      <c r="A30" s="2" t="n">
        <v>29</v>
      </c>
      <c r="B30" s="3" t="inlineStr">
        <is>
          <t>ขวัญดาว</t>
        </is>
      </c>
      <c r="C30" s="3" t="inlineStr">
        <is>
          <t>พี่ดาว</t>
        </is>
      </c>
      <c r="D30" s="3" t="inlineStr">
        <is>
          <t>ร้านส้มตำเจ๊แดง (เซ็นทรัลอีสต์วิลล์)</t>
        </is>
      </c>
      <c r="E30" s="3" t="n">
        <v>13.8029718</v>
      </c>
      <c r="F30" s="3" t="n">
        <v>100.6143198</v>
      </c>
      <c r="G30" s="2" t="inlineStr">
        <is>
          <t>✅ มีพิกัด</t>
        </is>
      </c>
      <c r="H30" s="3">
        <f>HYPERLINK("https://maps.google.com/?q=13.8029718,100.6143198","เปิดแผนที่")</f>
        <v/>
      </c>
    </row>
    <row r="31">
      <c r="A31" s="2" t="n">
        <v>30</v>
      </c>
      <c r="B31" s="3" t="inlineStr">
        <is>
          <t>พิมพ์พิชชา</t>
        </is>
      </c>
      <c r="C31" s="3" t="inlineStr">
        <is>
          <t>พี่อ้อย</t>
        </is>
      </c>
      <c r="D31" s="3" t="inlineStr">
        <is>
          <t>ร้านส้มตำเจ๊แดง (Charn at the Avenue)</t>
        </is>
      </c>
      <c r="E31" s="3" t="n">
        <v>13.8007595</v>
      </c>
      <c r="F31" s="3" t="n">
        <v>100.3735592</v>
      </c>
      <c r="G31" s="2" t="inlineStr">
        <is>
          <t>✅ มีพิกัด</t>
        </is>
      </c>
      <c r="H31" s="3">
        <f>HYPERLINK("https://maps.google.com/?q=13.8007595,100.3735592","เปิดแผนที่")</f>
        <v/>
      </c>
    </row>
    <row r="32">
      <c r="A32" s="2" t="n">
        <v>31</v>
      </c>
      <c r="B32" s="3" t="inlineStr">
        <is>
          <t>พิมพ์พิชชา</t>
        </is>
      </c>
      <c r="C32" s="3" t="inlineStr">
        <is>
          <t>พี่อ้อย</t>
        </is>
      </c>
      <c r="D32" s="3" t="inlineStr">
        <is>
          <t>ร้านส้มตำเจ๊แดง (ปตท. สายไหม 56)</t>
        </is>
      </c>
      <c r="E32" s="3" t="n">
        <v>13.9184717</v>
      </c>
      <c r="F32" s="3" t="n">
        <v>100.6576505</v>
      </c>
      <c r="G32" s="2" t="inlineStr">
        <is>
          <t>✅ มีพิกัด</t>
        </is>
      </c>
      <c r="H32" s="3">
        <f>HYPERLINK("https://maps.google.com/?q=13.9184717,100.6576505","เปิดแผนที่")</f>
        <v/>
      </c>
    </row>
    <row r="33">
      <c r="A33" s="2" t="n">
        <v>32</v>
      </c>
      <c r="B33" s="3" t="inlineStr">
        <is>
          <t>พิมพ์พิชชา</t>
        </is>
      </c>
      <c r="C33" s="3" t="inlineStr">
        <is>
          <t>พี่อ้อย</t>
        </is>
      </c>
      <c r="D33" s="3" t="inlineStr">
        <is>
          <t>ร้านส้มตำเจ๊แดง (บางจากรังสิต คลองสอง)</t>
        </is>
      </c>
      <c r="E33" s="3" t="n">
        <v>13.9885509</v>
      </c>
      <c r="F33" s="3" t="n">
        <v>100.6373587</v>
      </c>
      <c r="G33" s="2" t="inlineStr">
        <is>
          <t>✅ มีพิกัด</t>
        </is>
      </c>
      <c r="H33" s="3">
        <f>HYPERLINK("https://maps.google.com/?q=13.9885509,100.6373587","เปิดแผนที่")</f>
        <v/>
      </c>
    </row>
    <row r="34">
      <c r="A34" s="2" t="n">
        <v>33</v>
      </c>
      <c r="B34" s="3" t="inlineStr">
        <is>
          <t>พิมพ์พิชชา</t>
        </is>
      </c>
      <c r="C34" s="3" t="inlineStr">
        <is>
          <t>พี่อ้อย</t>
        </is>
      </c>
      <c r="D34" s="3" t="inlineStr">
        <is>
          <t>ร้านส้มตำเจ๊แดง (ฟิวเจอร์ปาร์ค รังสิต)</t>
        </is>
      </c>
      <c r="E34" s="3" t="n">
        <v>13.9892012</v>
      </c>
      <c r="F34" s="3" t="n">
        <v>100.6148237</v>
      </c>
      <c r="G34" s="2" t="inlineStr">
        <is>
          <t>✅ มีพิกัด</t>
        </is>
      </c>
      <c r="H34" s="3">
        <f>HYPERLINK("https://maps.google.com/?q=13.9892012,100.6148237","เปิดแผนที่")</f>
        <v/>
      </c>
    </row>
    <row r="35">
      <c r="A35" s="2" t="n">
        <v>34</v>
      </c>
      <c r="B35" s="3" t="inlineStr">
        <is>
          <t>พิมพ์พิชชา</t>
        </is>
      </c>
      <c r="C35" s="3" t="inlineStr">
        <is>
          <t>พี่อ้อย</t>
        </is>
      </c>
      <c r="D35" s="3" t="inlineStr">
        <is>
          <t>ร้านส้มตำเจ๊แดง (เมืองทองธานี)</t>
        </is>
      </c>
      <c r="E35" s="3" t="n">
        <v>13.9147566</v>
      </c>
      <c r="F35" s="3" t="n">
        <v>100.5371567</v>
      </c>
      <c r="G35" s="2" t="inlineStr">
        <is>
          <t>✅ มีพิกัด</t>
        </is>
      </c>
      <c r="H35" s="3">
        <f>HYPERLINK("https://maps.google.com/?q=13.9147566,100.5371567","เปิดแผนที่")</f>
        <v/>
      </c>
    </row>
    <row r="36">
      <c r="A36" s="2" t="n">
        <v>35</v>
      </c>
      <c r="B36" s="3" t="inlineStr">
        <is>
          <t>พิมพ์พิชชา</t>
        </is>
      </c>
      <c r="C36" s="3" t="inlineStr">
        <is>
          <t>พี่อ้อย</t>
        </is>
      </c>
      <c r="D36" s="3" t="inlineStr">
        <is>
          <t>ร้านส้มตำเจ๊แดง (เทพารักษ์-สายไหม)</t>
        </is>
      </c>
      <c r="E36" s="3" t="n">
        <v>13.8812783</v>
      </c>
      <c r="F36" s="3" t="n">
        <v>100.6239798</v>
      </c>
      <c r="G36" s="2" t="inlineStr">
        <is>
          <t>✅ มีพิกัด</t>
        </is>
      </c>
      <c r="H36" s="3">
        <f>HYPERLINK("https://maps.google.com/?q=13.8812783,100.6239798","เปิดแผนที่")</f>
        <v/>
      </c>
    </row>
    <row r="37">
      <c r="A37" s="2" t="n">
        <v>36</v>
      </c>
      <c r="B37" s="3" t="inlineStr">
        <is>
          <t>พิมพ์พิชชา</t>
        </is>
      </c>
      <c r="C37" s="3" t="inlineStr">
        <is>
          <t>พี่อ้อย</t>
        </is>
      </c>
      <c r="D37" s="3" t="inlineStr">
        <is>
          <t>ร้านส้มตำเจ๊แดง (ปั๊มบางจาก-ศาลายา)</t>
        </is>
      </c>
      <c r="E37" s="3" t="n">
        <v>13.8068012</v>
      </c>
      <c r="F37" s="3" t="n">
        <v>100.3129815</v>
      </c>
      <c r="G37" s="2" t="inlineStr">
        <is>
          <t>✅ มีพิกัด</t>
        </is>
      </c>
      <c r="H37" s="3">
        <f>HYPERLINK("https://maps.google.com/?q=13.8068012,100.3129815","เปิดแผนที่")</f>
        <v/>
      </c>
    </row>
    <row r="38">
      <c r="A38" s="2" t="n">
        <v>37</v>
      </c>
      <c r="B38" s="3" t="inlineStr">
        <is>
          <t>พิมพ์พิชชา</t>
        </is>
      </c>
      <c r="C38" s="3" t="inlineStr">
        <is>
          <t>พี่อ้อย</t>
        </is>
      </c>
      <c r="D38" s="3" t="inlineStr">
        <is>
          <t>ร้านส้มตำเจ๊แดง (ประชาชื่น)</t>
        </is>
      </c>
      <c r="E38" s="3" t="n">
        <v>13.8417627</v>
      </c>
      <c r="F38" s="3" t="n">
        <v>100.5307696</v>
      </c>
      <c r="G38" s="2" t="inlineStr">
        <is>
          <t>✅ มีพิกัด</t>
        </is>
      </c>
      <c r="H38" s="3">
        <f>HYPERLINK("https://maps.google.com/?q=13.8417627,100.5307696","เปิดแผนที่")</f>
        <v/>
      </c>
    </row>
    <row r="39">
      <c r="A39" s="2" t="n">
        <v>38</v>
      </c>
      <c r="B39" s="3" t="inlineStr">
        <is>
          <t>พิมพ์พิชชา</t>
        </is>
      </c>
      <c r="C39" s="3" t="inlineStr">
        <is>
          <t>พี่อ้อย</t>
        </is>
      </c>
      <c r="D39" s="3" t="inlineStr">
        <is>
          <t>4007 ซีคอนศรีนครินทร์ (เจ๊แดง จุ่มนัว)</t>
        </is>
      </c>
      <c r="E39" s="3" t="n">
        <v>13.6932864</v>
      </c>
      <c r="F39" s="3" t="n">
        <v>100.6453704</v>
      </c>
      <c r="G39" s="2" t="inlineStr">
        <is>
          <t>✅ มีพิกัด</t>
        </is>
      </c>
      <c r="H39" s="3">
        <f>HYPERLINK("https://maps.google.com/?q=13.6932864,100.6453704","เปิดแผนที่")</f>
        <v/>
      </c>
    </row>
    <row r="40">
      <c r="A40" s="2" t="n">
        <v>39</v>
      </c>
      <c r="B40" s="3" t="inlineStr">
        <is>
          <t>พิมพ์พิชชา</t>
        </is>
      </c>
      <c r="C40" s="3" t="inlineStr">
        <is>
          <t>พี่อ้อย</t>
        </is>
      </c>
      <c r="D40" s="3" t="inlineStr">
        <is>
          <t>4008 เซ็นทรัลศาลายา (เจ๊แดง จุ่มนัว)</t>
        </is>
      </c>
      <c r="E40" s="3" t="n">
        <v>13.7873021</v>
      </c>
      <c r="F40" s="3" t="n">
        <v>100.2733108</v>
      </c>
      <c r="G40" s="2" t="inlineStr">
        <is>
          <t>✅ มีพิกัด</t>
        </is>
      </c>
      <c r="H40" s="3">
        <f>HYPERLINK("https://maps.google.com/?q=13.7873021,100.2733108","เปิดแผนที่")</f>
        <v/>
      </c>
    </row>
    <row r="41">
      <c r="A41" s="2" t="n">
        <v>40</v>
      </c>
      <c r="B41" s="3" t="inlineStr">
        <is>
          <t>พิมพ์พิชชา</t>
        </is>
      </c>
      <c r="C41" s="3" t="inlineStr">
        <is>
          <t>พี่อ้อย</t>
        </is>
      </c>
      <c r="D41" s="3" t="inlineStr">
        <is>
          <t>4018 เทอมินอล21 พระราม 3 (เจ๊แดง จุ่มนัว)</t>
        </is>
      </c>
      <c r="E41" s="3" t="n">
        <v>13.689139</v>
      </c>
      <c r="F41" s="3" t="n">
        <v>100.4295476</v>
      </c>
      <c r="G41" s="2" t="inlineStr">
        <is>
          <t>✅ มีพิกัด</t>
        </is>
      </c>
      <c r="H41" s="3">
        <f>HYPERLINK("https://maps.google.com/?q=13.689139,100.4295476","เปิดแผนที่")</f>
        <v/>
      </c>
    </row>
    <row r="42">
      <c r="A42" s="4" t="n">
        <v>41</v>
      </c>
      <c r="B42" s="5" t="inlineStr">
        <is>
          <t>จุรีพร</t>
        </is>
      </c>
      <c r="C42" s="5" t="inlineStr">
        <is>
          <t>พี่อีฟ</t>
        </is>
      </c>
      <c r="D42" s="5" t="inlineStr">
        <is>
          <t>ร้านส้มตำเจ๊แดง (S-Oasis)</t>
        </is>
      </c>
      <c r="E42" s="5" t="n"/>
      <c r="F42" s="5" t="n"/>
      <c r="G42" s="4" t="inlineStr">
        <is>
          <t>❌ ไม่มี</t>
        </is>
      </c>
      <c r="H42" s="5" t="inlineStr"/>
    </row>
    <row r="43">
      <c r="A43" s="2" t="n">
        <v>42</v>
      </c>
      <c r="B43" s="3" t="inlineStr">
        <is>
          <t>จุรีพร</t>
        </is>
      </c>
      <c r="C43" s="3" t="inlineStr">
        <is>
          <t>พี่อีฟ</t>
        </is>
      </c>
      <c r="D43" s="3" t="inlineStr">
        <is>
          <t>ร้านส้มตำเจ๊แดง (ท็อปส์ เซ็นทรัลลาดพร้าว)</t>
        </is>
      </c>
      <c r="E43" s="3" t="n">
        <v>13.8159219</v>
      </c>
      <c r="F43" s="3" t="n">
        <v>100.5583448</v>
      </c>
      <c r="G43" s="2" t="inlineStr">
        <is>
          <t>✅ มีพิกัด</t>
        </is>
      </c>
      <c r="H43" s="3">
        <f>HYPERLINK("https://maps.google.com/?q=13.8159219,100.5583448","เปิดแผนที่")</f>
        <v/>
      </c>
    </row>
    <row r="44">
      <c r="A44" s="2" t="n">
        <v>43</v>
      </c>
      <c r="B44" s="3" t="inlineStr">
        <is>
          <t>จุรีพร</t>
        </is>
      </c>
      <c r="C44" s="3" t="inlineStr">
        <is>
          <t>พี่อีฟ</t>
        </is>
      </c>
      <c r="D44" s="3" t="inlineStr">
        <is>
          <t>ร้านส้มตำเจ๊แดง (Little Walk รัตนาธิเบศร์)</t>
        </is>
      </c>
      <c r="E44" s="3" t="n">
        <v>13.8650669</v>
      </c>
      <c r="F44" s="3" t="n">
        <v>100.4921928</v>
      </c>
      <c r="G44" s="2" t="inlineStr">
        <is>
          <t>✅ มีพิกัด</t>
        </is>
      </c>
      <c r="H44" s="3">
        <f>HYPERLINK("https://maps.google.com/?q=13.8650669,100.4921928","เปิดแผนที่")</f>
        <v/>
      </c>
    </row>
    <row r="45">
      <c r="A45" s="2" t="n">
        <v>44</v>
      </c>
      <c r="B45" s="3" t="inlineStr">
        <is>
          <t>จุรีพร</t>
        </is>
      </c>
      <c r="C45" s="3" t="inlineStr">
        <is>
          <t>พี่อีฟ</t>
        </is>
      </c>
      <c r="D45" s="3" t="inlineStr">
        <is>
          <t>ร้านส้มตำเจ๊แดง (The Circle ราชพฤกษ์)</t>
        </is>
      </c>
      <c r="E45" s="3" t="n">
        <v>13.7672438</v>
      </c>
      <c r="F45" s="3" t="n">
        <v>100.4397739</v>
      </c>
      <c r="G45" s="2" t="inlineStr">
        <is>
          <t>✅ มีพิกัด</t>
        </is>
      </c>
      <c r="H45" s="3">
        <f>HYPERLINK("https://maps.google.com/?q=13.7672438,100.4397739","เปิดแผนที่")</f>
        <v/>
      </c>
    </row>
    <row r="46">
      <c r="A46" s="2" t="n">
        <v>45</v>
      </c>
      <c r="B46" s="3" t="inlineStr">
        <is>
          <t>จุรีพร</t>
        </is>
      </c>
      <c r="C46" s="3" t="inlineStr">
        <is>
          <t>พี่อีฟ</t>
        </is>
      </c>
      <c r="D46" s="3" t="inlineStr">
        <is>
          <t>ร้านส้มตำเจ๊แดง (ไอคอนสยาม)</t>
        </is>
      </c>
      <c r="E46" s="3" t="n">
        <v>13.7264086</v>
      </c>
      <c r="F46" s="3" t="n">
        <v>100.500041</v>
      </c>
      <c r="G46" s="2" t="inlineStr">
        <is>
          <t>✅ มีพิกัด</t>
        </is>
      </c>
      <c r="H46" s="3">
        <f>HYPERLINK("https://maps.google.com/?q=13.7264086,100.500041","เปิดแผนที่")</f>
        <v/>
      </c>
    </row>
    <row r="47">
      <c r="A47" s="2" t="n">
        <v>46</v>
      </c>
      <c r="B47" s="3" t="inlineStr">
        <is>
          <t>จุรีพร</t>
        </is>
      </c>
      <c r="C47" s="3" t="inlineStr">
        <is>
          <t>พี่อีฟ</t>
        </is>
      </c>
      <c r="D47" s="3" t="inlineStr">
        <is>
          <t>ร้านส้มตำเจ๊แดง (กรุงเทพกริฑา)</t>
        </is>
      </c>
      <c r="E47" s="3" t="n">
        <v>13.7537365</v>
      </c>
      <c r="F47" s="3" t="n">
        <v>100.7145711</v>
      </c>
      <c r="G47" s="2" t="inlineStr">
        <is>
          <t>✅ มีพิกัด</t>
        </is>
      </c>
      <c r="H47" s="3">
        <f>HYPERLINK("https://maps.google.com/?q=13.7537365,100.7145711","เปิดแผนที่")</f>
        <v/>
      </c>
    </row>
    <row r="48">
      <c r="A48" s="2" t="n">
        <v>47</v>
      </c>
      <c r="B48" s="3" t="inlineStr">
        <is>
          <t>จุรีพร</t>
        </is>
      </c>
      <c r="C48" s="3" t="inlineStr">
        <is>
          <t>พี่อีฟ</t>
        </is>
      </c>
      <c r="D48" s="3" t="inlineStr">
        <is>
          <t>ร้านส้มตำเจ๊แดง (ปั๊มบางจาก รามคำแหง)</t>
        </is>
      </c>
      <c r="E48" s="3" t="n">
        <v>13.7789767</v>
      </c>
      <c r="F48" s="3" t="n">
        <v>100.6750197</v>
      </c>
      <c r="G48" s="2" t="inlineStr">
        <is>
          <t>✅ มีพิกัด</t>
        </is>
      </c>
      <c r="H48" s="3">
        <f>HYPERLINK("https://maps.google.com/?q=13.7789767,100.6750197","เปิดแผนที่")</f>
        <v/>
      </c>
    </row>
    <row r="49">
      <c r="A49" s="2" t="n">
        <v>48</v>
      </c>
      <c r="B49" s="3" t="inlineStr">
        <is>
          <t>จุรีพร</t>
        </is>
      </c>
      <c r="C49" s="3" t="inlineStr">
        <is>
          <t>พี่อีฟ</t>
        </is>
      </c>
      <c r="D49" s="3" t="inlineStr">
        <is>
          <t>ร้านส้มตำเจ๊แดง (เสนานิคม)</t>
        </is>
      </c>
      <c r="E49" s="3" t="n">
        <v>13.8341619</v>
      </c>
      <c r="F49" s="3" t="n">
        <v>100.5799618</v>
      </c>
      <c r="G49" s="2" t="inlineStr">
        <is>
          <t>✅ มีพิกัด</t>
        </is>
      </c>
      <c r="H49" s="3">
        <f>HYPERLINK("https://maps.google.com/?q=13.8341619,100.5799618","เปิดแผนที่")</f>
        <v/>
      </c>
    </row>
    <row r="50">
      <c r="A50" s="2" t="n">
        <v>49</v>
      </c>
      <c r="B50" s="3" t="inlineStr">
        <is>
          <t>จุรีพร</t>
        </is>
      </c>
      <c r="C50" s="3" t="inlineStr">
        <is>
          <t>พี่อีฟ</t>
        </is>
      </c>
      <c r="D50" s="3" t="inlineStr">
        <is>
          <t>4001 แฟชั่น ไอส์แลนด์ (เจ๊แดง จุ่มนัว)</t>
        </is>
      </c>
      <c r="E50" s="3" t="n">
        <v>13.8253442</v>
      </c>
      <c r="F50" s="3" t="n">
        <v>100.6788238</v>
      </c>
      <c r="G50" s="2" t="inlineStr">
        <is>
          <t>✅ มีพิกัด</t>
        </is>
      </c>
      <c r="H50" s="3">
        <f>HYPERLINK("https://maps.google.com/?q=13.8253442,100.6788238","เปิดแผนที่")</f>
        <v/>
      </c>
    </row>
    <row r="51">
      <c r="A51" s="2" t="n">
        <v>50</v>
      </c>
      <c r="B51" s="3" t="inlineStr">
        <is>
          <t>จุรีพร</t>
        </is>
      </c>
      <c r="C51" s="3" t="inlineStr">
        <is>
          <t>พี่อีฟ</t>
        </is>
      </c>
      <c r="D51" s="3" t="inlineStr">
        <is>
          <t>4005 ซีคอนบางแค (เจ๊แดง จุ่มนัว)</t>
        </is>
      </c>
      <c r="E51" s="3" t="n">
        <v>13.7123589</v>
      </c>
      <c r="F51" s="3" t="n">
        <v>100.4308969</v>
      </c>
      <c r="G51" s="2" t="inlineStr">
        <is>
          <t>✅ มีพิกัด</t>
        </is>
      </c>
      <c r="H51" s="3">
        <f>HYPERLINK("https://maps.google.com/?q=13.7123589,100.4308969","เปิดแผนที่")</f>
        <v/>
      </c>
    </row>
    <row r="52">
      <c r="A52" s="2" t="n">
        <v>51</v>
      </c>
      <c r="B52" s="3" t="inlineStr">
        <is>
          <t>จุรีพร</t>
        </is>
      </c>
      <c r="C52" s="3" t="inlineStr">
        <is>
          <t>พี่อีฟ</t>
        </is>
      </c>
      <c r="D52" s="3" t="inlineStr">
        <is>
          <t>4015 เดอะมอลล์ท่าพระ (เจ๊แดง จุ่มนัว)</t>
        </is>
      </c>
      <c r="E52" s="3" t="n">
        <v>13.7139355</v>
      </c>
      <c r="F52" s="3" t="n">
        <v>100.477666</v>
      </c>
      <c r="G52" s="2" t="inlineStr">
        <is>
          <t>✅ มีพิกัด</t>
        </is>
      </c>
      <c r="H52" s="3">
        <f>HYPERLINK("https://maps.google.com/?q=13.7139355,100.477666","เปิดแผนที่")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 ht="28" customHeight="1">
      <c r="A1" s="1" t="inlineStr">
        <is>
          <t>BZM (ชื่อจริง)</t>
        </is>
      </c>
      <c r="B1" s="1" t="inlineStr">
        <is>
          <t>BZM (นิคเนม)</t>
        </is>
      </c>
      <c r="C1" s="1" t="inlineStr">
        <is>
          <t>จำนวนสาขา</t>
        </is>
      </c>
      <c r="D1" s="1" t="inlineStr">
        <is>
          <t>มีพิกัด</t>
        </is>
      </c>
      <c r="E1" s="1" t="inlineStr">
        <is>
          <t>ขาดพิกัด</t>
        </is>
      </c>
    </row>
    <row r="2">
      <c r="A2" s="3" t="inlineStr">
        <is>
          <t>นุชจรินทร์</t>
        </is>
      </c>
      <c r="B2" s="3" t="inlineStr">
        <is>
          <t>พี่กัส</t>
        </is>
      </c>
      <c r="C2" s="2" t="n">
        <v>11</v>
      </c>
      <c r="D2" s="2" t="n">
        <v>11</v>
      </c>
      <c r="E2" s="2" t="n">
        <v>0</v>
      </c>
    </row>
    <row r="3">
      <c r="A3" s="3" t="inlineStr">
        <is>
          <t>คณัสวรรณ</t>
        </is>
      </c>
      <c r="B3" s="3" t="inlineStr">
        <is>
          <t>พี่เฟิร์น</t>
        </is>
      </c>
      <c r="C3" s="2" t="n">
        <v>7</v>
      </c>
      <c r="D3" s="2" t="n">
        <v>6</v>
      </c>
      <c r="E3" s="2" t="n">
        <v>1</v>
      </c>
    </row>
    <row r="4">
      <c r="A4" s="3" t="inlineStr">
        <is>
          <t>ขวัญดาว</t>
        </is>
      </c>
      <c r="B4" s="3" t="inlineStr">
        <is>
          <t>พี่ดาว</t>
        </is>
      </c>
      <c r="C4" s="2" t="n">
        <v>11</v>
      </c>
      <c r="D4" s="2" t="n">
        <v>11</v>
      </c>
      <c r="E4" s="2" t="n">
        <v>0</v>
      </c>
    </row>
    <row r="5">
      <c r="A5" s="3" t="inlineStr">
        <is>
          <t>พิมพ์พิชชา</t>
        </is>
      </c>
      <c r="B5" s="3" t="inlineStr">
        <is>
          <t>พี่อ้อย</t>
        </is>
      </c>
      <c r="C5" s="2" t="n">
        <v>11</v>
      </c>
      <c r="D5" s="2" t="n">
        <v>11</v>
      </c>
      <c r="E5" s="2" t="n">
        <v>0</v>
      </c>
    </row>
    <row r="6">
      <c r="A6" s="3" t="inlineStr">
        <is>
          <t>จุรีพร</t>
        </is>
      </c>
      <c r="B6" s="3" t="inlineStr">
        <is>
          <t>พี่อีฟ</t>
        </is>
      </c>
      <c r="C6" s="2" t="n">
        <v>11</v>
      </c>
      <c r="D6" s="2" t="n">
        <v>10</v>
      </c>
      <c r="E6" s="2" t="n">
        <v>1</v>
      </c>
    </row>
    <row r="7">
      <c r="A7" s="6" t="inlineStr">
        <is>
          <t>รวมทั้งหมด</t>
        </is>
      </c>
      <c r="B7" s="6" t="inlineStr"/>
      <c r="C7" s="7" t="n">
        <v>51</v>
      </c>
      <c r="D7" s="7" t="n">
        <v>49</v>
      </c>
      <c r="E7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50" customWidth="1" min="4" max="4"/>
    <col width="50" customWidth="1" min="5" max="5"/>
  </cols>
  <sheetData>
    <row r="1" ht="28" customHeight="1">
      <c r="A1" s="1" t="inlineStr">
        <is>
          <t>#</t>
        </is>
      </c>
      <c r="B1" s="1" t="inlineStr">
        <is>
          <t>BZM (ชื่อจริง)</t>
        </is>
      </c>
      <c r="C1" s="1" t="inlineStr">
        <is>
          <t>BZM (นิคเนม)</t>
        </is>
      </c>
      <c r="D1" s="1" t="inlineStr">
        <is>
          <t>ชื่อสาขา</t>
        </is>
      </c>
      <c r="E1" s="1" t="inlineStr">
        <is>
          <t>หมายเหตุ</t>
        </is>
      </c>
    </row>
    <row r="2">
      <c r="A2" s="4" t="n">
        <v>1</v>
      </c>
      <c r="B2" s="5" t="inlineStr">
        <is>
          <t>คณัสวรรณ</t>
        </is>
      </c>
      <c r="C2" s="5" t="inlineStr">
        <is>
          <t>พี่เฟิร์น</t>
        </is>
      </c>
      <c r="D2" s="5" t="inlineStr">
        <is>
          <t>ร้านส้มตำเจ๊แดง (ต้นซุง)</t>
        </is>
      </c>
      <c r="E2" s="5" t="inlineStr">
        <is>
          <t>ต้องเพิ่มพิกัดผ่าน Hub: 🍜 จัดการสาขาเจ๊แดง</t>
        </is>
      </c>
    </row>
    <row r="3">
      <c r="A3" s="4" t="n">
        <v>2</v>
      </c>
      <c r="B3" s="5" t="inlineStr">
        <is>
          <t>จุรีพร</t>
        </is>
      </c>
      <c r="C3" s="5" t="inlineStr">
        <is>
          <t>พี่อีฟ</t>
        </is>
      </c>
      <c r="D3" s="5" t="inlineStr">
        <is>
          <t>ร้านส้มตำเจ๊แดง (S-Oasis)</t>
        </is>
      </c>
      <c r="E3" s="5" t="inlineStr">
        <is>
          <t>ต้องเพิ่มพิกัดผ่าน Hub: 🍜 จัดการสาขาเจ๊แดง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2026-05-29T12:05:29Z</dcterms:created>
  <dcterms:modified xmlns:dcterms="http://purl.org/dc/terms/" xmlns:xsi="http://www.w3.org/2001/XMLSchema-instance" xsi:type="dcterms:W3CDTF">2026-05-29T12:05:29Z</dcterms:modified>
</cp:coreProperties>
</file>